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 voucher" sheetId="1" r:id="rId5"/>
  </sheets>
  <definedNames/>
  <calcPr/>
</workbook>
</file>

<file path=xl/sharedStrings.xml><?xml version="1.0" encoding="utf-8"?>
<sst xmlns="http://schemas.openxmlformats.org/spreadsheetml/2006/main" count="264" uniqueCount="186">
  <si>
    <t>Mã chức năng
(Function ID)</t>
  </si>
  <si>
    <t>TC_02</t>
  </si>
  <si>
    <t>Tên chức năng 
(Function Name)</t>
  </si>
  <si>
    <t>QC/AI</t>
  </si>
  <si>
    <t>Testcase ID</t>
  </si>
  <si>
    <t>Mức Độ Ưu Tiên
(Priority)</t>
  </si>
  <si>
    <t>Nội Dung Test
(Test Title)</t>
  </si>
  <si>
    <t>Điều Kiện/ Dữ Liệu Test
(Pre-condition/ Test Data)</t>
  </si>
  <si>
    <t>Các Bước Thực Hiện
(Test Steps)</t>
  </si>
  <si>
    <t>Kết Quả Mong Đợi
(Expected Results)</t>
  </si>
  <si>
    <t>Kết Quả Thực Hiện
(Actual Result)</t>
  </si>
  <si>
    <t>Người Thực Hiện
(Executed By)</t>
  </si>
  <si>
    <t>ID Bugs</t>
  </si>
  <si>
    <t>Ghi Chú
(Remark)</t>
  </si>
  <si>
    <t>Nhóm: Functional</t>
  </si>
  <si>
    <t>SA</t>
  </si>
  <si>
    <t>AI</t>
  </si>
  <si>
    <t>High</t>
  </si>
  <si>
    <t>Auto-apply voucher có DiscountVAT cao nhất khi lần đầu vào Thanh toán</t>
  </si>
  <si>
    <t>Điều kiện: KH đã login; checkout có context đầy đủ (gói+PTTT+địa chỉ); chưa có voucher; tài khoản có ≥2 EVC hợp lệ khác DiscountVAT
Dữ liệu: Account có EVC: V1 DiscountVAT=300k, V2 DiscountVAT=500k (chọn V2)</t>
  </si>
  <si>
    <t>1. Truy cập URL màn hình Thanh toán
2. Chờ màn tải xong, KHÔNG thao tác thêm
3. Quan sát block Voucher + dòng 'Cần thanh toán'</t>
  </si>
  <si>
    <t>- Màn Thanh toán tải xong
- CO tự áp đúng 1 EVC có DiscountVAT cao nhất; block voucher hiện mã + số tiền giảm (màu đỏ, vd -500.000đ)
- 'Cần thanh toán' = giá gốc − discount;</t>
  </si>
  <si>
    <t>AnhDC4</t>
  </si>
  <si>
    <t>Đổi context (chỉ voucher auto) → remove voucher cũ + apply best mới</t>
  </si>
  <si>
    <t>Điều kiện: Checkout đang có voucher V1 auto-apply; hasManualVoucher=false
Dữ liệu: Context cũ: V1 best. Context mới: V2 best</t>
  </si>
  <si>
    <t>1. Đổi Gói dịch vụ HOẶC PTTT sang context mới (vẫn có EVC hợp lệ)
2. Chờ màn xử lý lại (loading)
3. Quan sát block voucher + 'Cần thanh toán'</t>
  </si>
  <si>
    <t>- FE gọi getlist + get detail
- CO remove V1, tìm voucher tốt nhất context mới (V2, có thể ≠ V1), apply, tính lại
- Block voucher hiện V2 + discount mới; 'Cần thanh toán' theo V2; không crash/stuck</t>
  </si>
  <si>
    <t>Giữ voucher còn valid sau khi đổi context (hasManualVoucher=true)</t>
  </si>
  <si>
    <t>Điều kiện: hasManualVoucher=true; voucher vẫn hợp lệ với context mới
Dữ liệu: Voucher vẫn valid sau đổi context</t>
  </si>
  <si>
    <t>1. Đổi context (voucher vẫn hợp lệ)
2. FE apply lại [auto+manual]
3. Quan sát voucher + giá</t>
  </si>
  <si>
    <t>- CO GetEvoucherInfor + Recheck
- Voucher giữ nguyên trong checkout; giá tính với voucher đó</t>
  </si>
  <si>
    <t>Medium</t>
  </si>
  <si>
    <t>User bỏ voucher manual → giữ voucher auto, cập nhật hasManualVoucher</t>
  </si>
  <si>
    <t>Điều kiện: Checkout có cả voucher manual và auto
Dữ liệu: Checkout: 1 manual + 1 auto</t>
  </si>
  <si>
    <t>1. Bỏ voucher manual
2. Quan sát voucher còn lại + flag</t>
  </si>
  <si>
    <t>CO chỉ remove voucher manual; voucher auto giữ nguyên; hasManualVoucher cập nhật theo số manual còn lại (=false nếu hết manual)</t>
  </si>
  <si>
    <t>Đổi context khi chỉ còn voucher manual → chỉ revalidate manual, không auto mới</t>
  </si>
  <si>
    <t>Điều kiện: Checkout chỉ còn voucher manual (auto đã bị bỏ); hasManualVoucher=true
Dữ liệu: Checkout chỉ 1 manual, 0 auto</t>
  </si>
  <si>
    <t>1. Đổi context → FE apply lại [manual]
2. Quan sát voucher + có voucher auto mới không</t>
  </si>
  <si>
    <t>CO GetEvoucherInfor + Recheck voucher manual; giữ nếu valid; KHÔNG apply voucher auto mới</t>
  </si>
  <si>
    <t>Recheck lúc Thanh toán hợp lệ (result=1) → tạo order thành công</t>
  </si>
  <si>
    <t>Điều kiện: Đã apply EVC; Recheck trả result=1 (hợp lệ)
Dữ liệu: EVC hợp lệ, Recheck=1</t>
  </si>
  <si>
    <t>1. Bấm 'Thanh toán'
2. Chờ xử lý</t>
  </si>
  <si>
    <t>Recheck trả 1; điều hướng qua màn thanh toán thành công (đơn được tạo với voucher đã áp)</t>
  </si>
  <si>
    <t>Bấm 'Sử dụng ưu đãi' từ màn Chi tiết → apply + quay về Checkout</t>
  </si>
  <si>
    <t>Điều kiện: KH đang xem màn Chi tiết Ưu đãi voucher V còn hợp lệ; chưa áp voucher nào
Dữ liệu: Voucher V: giảm 10%, tối đa 100k</t>
  </si>
  <si>
    <t>1. Click 'Sử dụng ưu đãi' cuối màn
2. Quan sát màn hình sau click</t>
  </si>
  <si>
    <t>Màn Chi tiết đóng; quay về Checkout; tên/mã V hiện trong section Thông tin thanh toán; số tiền giảm + 'Cần thanh toán' cập nhật đúng theo V</t>
  </si>
  <si>
    <t>Chọn EVC hợp lệ + 'Đồng ý' → cập nhật giá giảm và tổng đơn</t>
  </si>
  <si>
    <t>Điều kiện: Popup danh sách EVC đang mở; có ≥1 EVC hợp lệ; checkout chưa áp voucher
Dữ liệu: EVC hợp lệ trong danh sách</t>
  </si>
  <si>
    <t>1. Chọn 1 EVC hợp lệ (click radio/checkbox)
2. Bấm 'Đồng ý'
3. Chờ loading
4. Quan sát màn Thanh toán sau khi popup đóng</t>
  </si>
  <si>
    <t>- Đã chọn EVC
- Loading spinner hiện rồi biến mất
- Popup đóng; số tiền giảm EVC hiển thị; 'Cần thanh toán' = giá gốc − discount (chính xác); EVC trạng thái 'đang áp dụng'</t>
  </si>
  <si>
    <t>Hủy EVC đang áp (uncheck + Đồng ý) → reset giá gốc, không call QLCS</t>
  </si>
  <si>
    <t>Điều kiện: Đã apply 1 EVC; màn hiển thị giá đã giảm
Dữ liệu: 1 EVC đang áp</t>
  </si>
  <si>
    <t>1. Mở lại popup danh sách EVC
2. Bỏ chọn EVC đang áp (uncheck)
3. Bấm 'Đồng ý' xác nhận hủy
4. Quan sát màn Thanh toán</t>
  </si>
  <si>
    <t>- Đã hủy chọn
- Popup đóng; 'Cần thanh toán' = giá gốc (chính xác số học); số tiền giảm về 0/biến mất; EVC không còn 'đang áp dụng'; không error; KHÔNG có call QLCS (CO xử lý nội bộ)</t>
  </si>
  <si>
    <t>Block CTKM hiển thị count EVC khả dụng khi load màn hình</t>
  </si>
  <si>
    <t>Điều kiện: KH đã login; có ≥1 EVC hợp lệ với context checkout
Dữ liệu: Account có N EVC hợp lệ (N&gt;0)</t>
  </si>
  <si>
    <t>1. Truy cập màn Thanh toán
2. Chờ tải xong (không thao tác)
3. Quan sát khu vực block CTKM/Ưu đãi</t>
  </si>
  <si>
    <t>- Màn tải xong
- Block CTKM/Ưu đãi tự hiển thị với số EVC khả dụng (số nguyên &gt; 0); không cần bấm thêm; không lỗi</t>
  </si>
  <si>
    <t>Lọc voucher theo điều kiện địa chỉ + PTTT + chu kỳ</t>
  </si>
  <si>
    <t>Điều kiện: KH có voucher; QLCS trả điều kiện theo địa chỉ/PTTT/chu kỳ; một số voucher không thỏa đơn
Dữ liệu: Voucher: 1 cho Momo, 1 cho COD, 1 cho chu kỳ 12 tháng</t>
  </si>
  <si>
    <t>1. Chọn PTTT/địa chỉ/chu kỳ cụ thể (vd PTTT=Momo)
2. Mở 'Chọn ưu đãi'
3. Quan sát danh sách voucher
4. Đổi PTTT/địa chỉ/chu kỳ sang giá trị khác
5. Quan sát danh sách cập nhật</t>
  </si>
  <si>
    <t>- Danh sách CHỈ hiển thị voucher thỏa đồng thời địa chỉ + PTTT + chu kỳ của đơn; voucher không thỏa KHÔNG xuất hiện
- List cập nhật theo điều kiện mới (không chuyển màn, chỉ thay nội dung)</t>
  </si>
  <si>
    <t>Nhóm: Business Rule</t>
  </si>
  <si>
    <t>Chỉ apply đúng 1 voucher, không stack combo nhiều voucher</t>
  </si>
  <si>
    <t>Điều kiện: KH đã login; tài khoản có nhiều (≥3) EVC hợp lệ
Dữ liệu: Account có ≥3 EVC hợp lệ</t>
  </si>
  <si>
    <t>1. Truy cập màn Thanh toán
2. Chờ auto-apply
3. Đếm số voucher được áp + kiểm discount</t>
  </si>
  <si>
    <t>- Màn tải xong
- CO chỉ áp đúng 1 voucher (DiscountVAT cao nhất)
- Không cộng dồn discount của nhiều voucher (no stacking)</t>
  </si>
  <si>
    <t>hasManualVoucher=true → CO KHÔNG tự auto-apply khi đổi context</t>
  </si>
  <si>
    <t>Điều kiện: Checkout có ≥1 voucher manual + 1 auto (hasManualVoucher=true)
Dữ liệu: Checkout: 1 manual + 1 auto</t>
  </si>
  <si>
    <t>1. Đổi Gói/PTTT/địa chỉ
2. Quan sát hành vi CO (không có voucher auto MỚI tự xuất hiện ngoài request FE)</t>
  </si>
  <si>
    <t>CO KHÔNG tự chạy auto-apply; chờ FE gửi request apply lại [auto+manual]</t>
  </si>
  <si>
    <t>Không auto-apply voucher mới thay thế voucher bị remove</t>
  </si>
  <si>
    <t>Điều kiện: Một số voucher bị remove sau revalidate (hasManualVoucher=true)
Dữ liệu: ≥1 voucher bị remove</t>
  </si>
  <si>
    <t>1. Tạo trạng thái có voucher bị remove sau đổi context
2. Chờ CO xử lý xong
3. Quan sát có voucher mới tự thay thế không</t>
  </si>
  <si>
    <t>- CO hoàn tất xử lý
- CO KHÔNG tự tìm + apply voucher mới thay thế; 'Cần thanh toán' theo voucher còn lại (hoặc giá gốc nếu tất cả bị remove)</t>
  </si>
  <si>
    <t>User bỏ voucher auto → remove, KHÔNG auto-apply lại</t>
  </si>
  <si>
    <t>Điều kiện: Checkout có voucher auto, không có manual
Dữ liệu: 1 voucher auto đang áp</t>
  </si>
  <si>
    <t>1. Bấm bỏ/xóa voucher auto (FE gọi Apply=rỗng)
2. Quan sát voucher + giá</t>
  </si>
  <si>
    <t>- CO remove voucher
- Dù hasManualVoucher=false, CO KHÔNG auto-apply lại; 'Cần thanh toán' về giá gốc</t>
  </si>
  <si>
    <t>Sau khi user chủ động bỏ voucher + đổi context → KHÔNG auto-apply</t>
  </si>
  <si>
    <t>Điều kiện: User vừa bỏ voucher; hasManualVoucher=false; còn EVC hợp lệ trong tài khoản
Dữ liệu: Sau bỏ voucher, account vẫn còn EVC hợp lệ</t>
  </si>
  <si>
    <t>1. Bỏ voucher đang áp
2. Đổi Gói/PTTT/địa chỉ
3. Chờ CO nhận context change
4. Quan sát block voucher + giá</t>
  </si>
  <si>
    <t>- Voucher đã bỏ, đổi context
- CO KHÔNG auto-apply (user đã chủ động bỏ = quyết định không dùng); 'Cần thanh toán' giữ giá gốc</t>
  </si>
  <si>
    <t>Nhóm: Exception</t>
  </si>
  <si>
    <t>Không auto-apply khi KH không có EVC hợp lệ → giá gốc, không lỗi</t>
  </si>
  <si>
    <t>Điều kiện: KH đã login; GetListEvoucher trả list rỗng; checkout có context đầy đủ
Dữ liệu: Account không có EVC hợp lệ (list rỗng)</t>
  </si>
  <si>
    <t>1. Truy cập màn Thanh toán
2. Chờ tải xong
3. Quan sát khu vực Voucher + 'Cần thanh toán'</t>
  </si>
  <si>
    <t>- Màn tải xong
- Không có mã voucher/số tiền giảm; KHÔNG hiển thị error cho user
- 'Cần thanh toán' = giá gốc; màn dùng bình thường, không stuck loading</t>
  </si>
  <si>
    <t>Không auto-apply khi Recheck fail (result=0/-1) → giá gốc, không lỗi</t>
  </si>
  <si>
    <t>Điều kiện: KH đã login; có EVC nhưng Recheck sẽ trả result=0 hoặc -1
Dữ liệu: EVC kích hoạt Recheck result=0 (hết quota) / -1 (lỗi hệ thống)</t>
  </si>
  <si>
    <t>1. Truy cập màn Thanh toán
2. Chờ CO xử lý auto-apply (Recheck)
3. Quan sát block voucher + giá</t>
  </si>
  <si>
    <t>- Màn tải xong
- CO không apply voucher (do Recheck fail)
- 'Cần thanh toán' = giá gốc; KHÔNG báo lỗi user</t>
  </si>
  <si>
    <t>Đổi context không còn voucher hợp lệ → giá gốc, không lỗi</t>
  </si>
  <si>
    <t>Điều kiện: Checkout có voucher auto; context mới không còn EVC hợp lệ
Dữ liệu: Context mới: 0 EVC hợp lệ</t>
  </si>
  <si>
    <t>1. Đổi context sang trạng thái không có EVC hợp lệ
2. Chờ xử lý
3. Quan sát voucher + giá</t>
  </si>
  <si>
    <t>- CO remove voucher cũ, không apply mới
- 'Cần thanh toán' về giá gốc; FE nhận 'không có voucher'; không error</t>
  </si>
  <si>
    <t>Remove voucher invalid sau đổi context + thông báo tiếng Việt</t>
  </si>
  <si>
    <t>Điều kiện: hasManualVoucher=true; sau đổi context voucher X không còn hợp lệ
Dữ liệu: Voucher X invalid với context mới</t>
  </si>
  <si>
    <t>1. Đổi Gói/PTTT khiến X invalid
2. Chờ xử lý xong
3. Quan sát thông báo + khu vực voucher</t>
  </si>
  <si>
    <t>- CO remove X, Calculate lại
- Hiển thị thông báo TV 'Voucher X không còn phù hợp với lựa chọn hiện tại'; mã X + discount biến mất; 'Cần thanh toán' về giá voucher còn lại/giá gốc; không crash</t>
  </si>
  <si>
    <t>Đổi context, voucher manual invalid → remove + thông báo</t>
  </si>
  <si>
    <t>Điều kiện: Chỉ còn voucher manual; voucher manual không hợp lệ context mới
Dữ liệu: Voucher manual invalid với context mới</t>
  </si>
  <si>
    <t>1. Đổi context khiến manual invalid
2. Chờ xử lý
3. Quan sát voucher + thông báo + giá</t>
  </si>
  <si>
    <t>- CO nhận invalid
- CO remove voucher manual, Calculate lại giá gốc, trả FE thông báo phù hợp</t>
  </si>
  <si>
    <t>Recheck lúc Thanh toán lỗi hệ thống (result=-1) → giữ EVC, cho thử lại</t>
  </si>
  <si>
    <t>Điều kiện: Đã apply EVC; Recheck sẽ trả result=-1 (lỗi hệ thống)
Dữ liệu: EVC kích hoạt Recheck=-1</t>
  </si>
  <si>
    <t>1. Bấm 'Thanh toán'
2. Chờ xử lý
3. Quan sát thông báo + trạng thái</t>
  </si>
  <si>
    <t>- Recheck trả -1
- Order KHÔNG tạo; thông báo lỗi hệ thống TV (vd 'Hệ thống đang xử lý, vui lòng thử lại'); EVC + giá giữ nguyên; user có thể thử lại</t>
  </si>
  <si>
    <t>Chọn EVC không hợp lệ → lỗi tiếng Việt, giá không đổi</t>
  </si>
  <si>
    <t>Điều kiện: Popup EVC mở; chuẩn bị EVC hết hạn/hết quota (QLCS Recheck result ≠ 1)
Dữ liệu: EVC hết quota (voucherCode đã hết)</t>
  </si>
  <si>
    <t>1. Chọn EVC đã hết hạn/hết quota
2. Bấm 'Đồng ý'
3. Chờ xử lý
4. Quan sát thông báo + giá</t>
  </si>
  <si>
    <t>- Hệ thống xử lý
- Thông báo lỗi TV (vd 'Voucher không còn hợp lệ'); tổng đơn KHÔNG đổi; KHÔNG lộ thông tin kỹ thuật nội bộ (tên service/error code)</t>
  </si>
  <si>
    <t>Voucher đã áp không còn thỏa điều kiện (đổi PTTT) → tự xóa + reload list</t>
  </si>
  <si>
    <t>Điều kiện: Đã áp voucher V thỏa điều kiện hiện tại (vd PTTT=COD); đang ở Checkout
Dữ liệu: Voucher V điều kiện PTTT=COD</t>
  </si>
  <si>
    <t>1. Đổi PTTT sang Momo (V không còn thỏa)
2. Quan sát voucher + giá + danh sách</t>
  </si>
  <si>
    <t>Hệ thống tự XÓA voucher V đã áp + tính lại 'Cần thanh toán' (về giá voucher còn lại/giá gốc); danh sách voucher reload chỉ còn voucher thỏa điều kiện mới (không load voucher không thỏa); có thông báo voucher bị gỡ; không chuyển màn</t>
  </si>
  <si>
    <t>Nhóm: Integration</t>
  </si>
  <si>
    <t>Recheck lúc bấm Thanh toán phát hiện hết quota (result=0) → không tạo order</t>
  </si>
  <si>
    <t>Điều kiện: Đã apply EVC; Recheck sẽ trả result=0 (hết quota) lúc thanh toán
Dữ liệu: EVC kích hoạt Recheck=0 khi recheck</t>
  </si>
  <si>
    <t>1. Bấm nút 'Thanh toán'
2. Chờ hệ thống xử lý
3. Quan sát thông báo + trạng thái màn</t>
  </si>
  <si>
    <t>- Recheck trả 0
- Order KHÔNG tạo; thông báo TV 'Voucher X không còn hợp lệ'; EVC bị remove, 'Cần thanh toán' về giá gốc; user vẫn ở màn Thanh toán, có thể thử lại</t>
  </si>
  <si>
    <t>Low</t>
  </si>
  <si>
    <t>[BLOCKED] Apply request field source = 'auto' khi auto-apply</t>
  </si>
  <si>
    <t>Điều kiện: DevTools Network mở; user chưa apply thủ công; có EVC hợp lệ
Dữ liệu: Auto-apply request body</t>
  </si>
  <si>
    <t>1. Mở DevTools → Network
2. Truy cập màn Thanh toán
3. Chờ auto-apply
4. Tìm request POST Apply voucher → kiểm Request Body</t>
  </si>
  <si>
    <t>[BLOCKED – C-VOU-006] field 'source' = 'auto' hay enum khác? — chờ Dev xác nhận schema. EXECUTE cần quyền API/DevTools (C-VOU-011)</t>
  </si>
  <si>
    <t>Nhóm: UI</t>
  </si>
  <si>
    <t>Trang Cart hiển thị link 'Nhập các mã ưu đãi của bạn' (default chưa áp voucher)</t>
  </si>
  <si>
    <t>Điều kiện: KH ở trang Giỏ hàng (Cart); chưa áp voucher; có ≥1 sản phẩm
Dữ liệu: Giỏ hàng có ≥1 sản phẩm</t>
  </si>
  <si>
    <t>1. Truy cập trang Cart
2. Quan sát khu vực Thông tin thanh toán (cột phải)
3. Tìm phần nhập mã ưu đãi</t>
  </si>
  <si>
    <t>- Trang Cart hiển thị
- Link 'Nhập các mã ưu đãi của bạn' hiện dưới dòng Tạm tính; không hiện tên voucher/số tiền giảm; nút 'Tiếp tục' vẫn active</t>
  </si>
  <si>
    <t>Trang Checkout hiển thị section 'Chọn ưu đãi'/'Áp dụng' (default chưa áp)</t>
  </si>
  <si>
    <t>Điều kiện: KH ở trang Checkout đầy đủ (bước Thanh toán); chưa áp voucher; đã điền thông tin + chọn PTTT
Dữ liệu: Checkout đã điền thông tin cá nhân + PTTT</t>
  </si>
  <si>
    <t>1. Truy cập Checkout đầy đủ
2. Quan sát section 'Thông tin thanh toán' (cột phải)
3. Ghi nhận trạng thái khu vực voucher</t>
  </si>
  <si>
    <t>- Section hiển thị
- Button/link 'Chọn ưu đãi' hiện; 'Áp dụng' disabled/dạng link; không hiện voucher/discount; 'Cần thanh toán' = giá gốc chưa giảm</t>
  </si>
  <si>
    <t>Modal 'Chọn ưu đãi' có 2 tab Mã giảm giá / Ưu đãi + cấu trúc</t>
  </si>
  <si>
    <t>Điều kiện: KH ở Cart/Checkout; hệ thống có ≥1 voucher khả dụng; đã chọn PTTT
Dữ liệu: Account có voucher cả 2 loại</t>
  </si>
  <si>
    <t>1. Click 'Nhập các mã ưu đãi'/'Chọn ưu đãi'
2. Quan sát cấu trúc tổng thể modal
3. Click tab 'Mã giảm giá'
4. Click tab 'Ưu đãi'</t>
  </si>
  <si>
    <t>- Modal hiện title 'Chọn ưu đãi' + nút X góc trên phải; có nút 'Xác nhận'/'Đồng ý' cuối modal
- Tab 'Mã giảm giá' highlight, list voucher giảm tiền trực tiếp
- Tab 'Ưu đãi' highlight, list ưu đãi khác (tặng camera/tháng)</t>
  </si>
  <si>
    <t>Voucher Card Item hiển thị đủ 6 thành phần</t>
  </si>
  <si>
    <t>Điều kiện: Modal 'Chọn ưu đãi' đang mở; có ≥1 voucher card
Dữ liệu: Voucher VD: 'Giảm 10%, tối đa 100k', HSD 30.08.2025</t>
  </si>
  <si>
    <t>1. Quan sát chi tiết 1 voucher card
2. Kiểm từng thành phần
3. Ghi nhận link 'Điều kiện'</t>
  </si>
  <si>
    <t>Card hiển thị đủ: (1) icon màu cam/xanh (2) tên voucher in đậm (3) mô tả ngắn (4) ngày hết hạn (5) control chọn radio/checkbox (6) link 'Điều kiện' điều hướng màn chi tiết</t>
  </si>
  <si>
    <t>Modal Empty State khi không có voucher khả dụng</t>
  </si>
  <si>
    <t>Điều kiện: KH ở Cart/Checkout; đơn không có voucher khả dụng (API trả list rỗng); đã chọn PTTT
Dữ liệu: Account không có voucher khả dụng</t>
  </si>
  <si>
    <t>1. Click 'Chọn ưu đãi'
2. Chờ modal mở
3. Quan sát nội dung modal</t>
  </si>
  <si>
    <t>- Modal mở, hiện title 'Chọn ưu đãi' + nút X
- Không có danh sách voucher; hiện illustration empty + text 'Tất tiếc, ngay lúc này chưa có ưu đãi.'; KHÔNG có nút 'Xác nhận'</t>
  </si>
  <si>
    <t>Màn Chi tiết Ưu đãi hiển thị đầy đủ thông tin + section Điều khoản</t>
  </si>
  <si>
    <t>Điều kiện: Modal mở; có voucher card có link 'Điều kiện'
Dữ liệu: Voucher có đủ thông tin điều khoản</t>
  </si>
  <si>
    <t>1. Click link 'Điều kiện' trên 1 voucher card
2. Quan sát màn Chi tiết Ưu đãi
3. Click section 'Xem chi tiết'/'Điều khoản' để expand
4. Đọc bullet list điều khoản</t>
  </si>
  <si>
    <t>- Màn Chi tiết hiển thị đủ: banner (icon+tên+mô tả+HSD), Hạn sử dụng (dd/MM/yyyy), mô tả Ưu đãi, Áp dụng cho dịch vụ, PTTT, nút 'Sử dụng ưu đãi'
- Section 'Xem chi tiết' expand → hiện bullet list điều khoản</t>
  </si>
  <si>
    <t>Mobile sticky bottom bar hiển thị voucher đã áp</t>
  </si>
  <si>
    <t>Điều kiện: KH trên mobile (viewport ≤768px); ở Checkout; đã áp voucher V (vd Giảm 200k)
Dữ liệu: Mobile viewport ≤768px; voucher Giảm 200k</t>
  </si>
  <si>
    <t>1. Truy cập Checkout trên thiết bị mobile
2. Áp dụng voucher V hợp lệ
3. Quan sát sticky bottom bar dưới màn</t>
  </si>
  <si>
    <t>- Voucher V áp thành công
- Sticky bar hiện tên/mã/icon voucher V; 'Cần thanh toán' trong bar = giá gốc − giá trị V; nút 'Tiếp tục' active, click được</t>
  </si>
  <si>
    <t>Popup điều kiện EVC hiển thị Content1→Content6 đúng thứ tự, bỏ qua rỗng</t>
  </si>
  <si>
    <t>Điều kiện: Popup EVC mở; EVC có ≥1 content (Content1-6) không rỗng
Dữ liệu: EVC có content từ QLCS (≥1 không rỗng)</t>
  </si>
  <si>
    <t>1. Tìm 1 EVC có nút 'Điều kiện'
2. Bấm 'Điều kiện' của EVC đó
3. Quan sát popup/màn chi tiết điều kiện</t>
  </si>
  <si>
    <t>- Popup điều kiện mở
- Hiển thị content theo thứ tự Content1→Content6 (bỏ qua dòng rỗng/null); popup danh sách phía sau vẫn hiển thị; không lộ info kỹ thuật</t>
  </si>
  <si>
    <t>Popup điều kiện khi EVC không có content → thông báo phù hợp</t>
  </si>
  <si>
    <t>Điều kiện: Popup EVC mở; EVC có Content1-6 đều rỗng
Dữ liệu: EVC có Content1-6 đều rỗng</t>
  </si>
  <si>
    <t>1. Bấm 'Điều kiện' của EVC không có content
2. Quan sát popup/màn chi tiết</t>
  </si>
  <si>
    <t>Hiển thị thông báo 'Không có thông tin điều kiện'; không crash/loading mãi; không hiện nội dung rỗng/null</t>
  </si>
  <si>
    <t>Đóng popup EVC (X/click ngoài) không thay đổi state checkout</t>
  </si>
  <si>
    <t>Điều kiện: Popup EVC mở; chưa thao tác chọn EVC trong lần này</t>
  </si>
  <si>
    <t>1. Bấm nút X hoặc click vùng ngoài popup
2. Quan sát trạng thái màn Thanh toán</t>
  </si>
  <si>
    <t>- Popup đóng
- Nếu trước đó đã apply EVC → vẫn áp + giá đã giảm; nếu chưa apply → giá gốc; KHÔNG đổi state checkout</t>
  </si>
  <si>
    <t>Block CTKM ẩn/disabled khi không có EVC hợp lệ</t>
  </si>
  <si>
    <t>Điều kiện: KH đã login; không có EVC hợp lệ với context
Dữ liệu: Account không có EVC hợp lệ</t>
  </si>
  <si>
    <t>1. Truy cập màn Thanh toán
2. Chờ tải xong
3. Quan sát khu vực block CTKM</t>
  </si>
  <si>
    <t>- Màn tải xong
- Block CTKM ẩn hoặc disabled (không bấm được); không có nút 'Xem ưu đãi'; không thông báo lỗi; màn vẫn hoạt động bình thường</t>
  </si>
  <si>
    <t>Badge số EVC khả dụng hiển thị đúng trên nút 'Chọn ưu đãi'</t>
  </si>
  <si>
    <t>Điều kiện: KH đã login; màn Thanh toán tải xong; có N EVC hợp lệ (biết trước N, vd N=3)
Dữ liệu: N=3 EVC hợp lệ</t>
  </si>
  <si>
    <t>1. Quan sát nút 'Chọn ưu đãi'
2. Ghi nhận số badge trên nút</t>
  </si>
  <si>
    <t>Badge hiển thị đúng số N (integer dương, vd 3); không hiện số âm/sai số</t>
  </si>
  <si>
    <t>[BLOCKED] Voucher card trạng thái disabled/đã dùng/hết hạn</t>
  </si>
  <si>
    <t>Điều kiện: Modal mở; danh sách có voucher đã dùng/hết hạn
Dữ liệu: Voucher đã dùng/hết hạn</t>
  </si>
  <si>
    <t>1. Click 'Chọn ưu đãi'
2. Quan sát voucher card không khả dụng
3. Thử click vào card không khả dụng</t>
  </si>
  <si>
    <t>[BLOCKED – C-VOU-003] Expected UI state chưa thiết kế (dimmed? text 'Đã dùng'? strike-through? không cho click?) — Figma Case C8 thiếu. Placeholder chờ Designer/BA</t>
  </si>
  <si>
    <t>Nhóm: Performance</t>
  </si>
  <si>
    <t>Popup EVC mở từ cache, không gọi lại GetListEvoucher</t>
  </si>
  <si>
    <t>Điều kiện: Đang ở Checkout; block CTKM count &gt; 0; DevTools Network mở
Dữ liệu: Block CTKM count &gt; 0</t>
  </si>
  <si>
    <t>1. Xác nhận GetListEvoucher đã gọi khi load trang (Network tab)
2. Bấm block CTKM/'Xem ưu đãi'
3. Quan sát popup mở + Network tab
4. Kiểm nội dung từng EVC row</t>
  </si>
  <si>
    <t>- GetListEvoucher đã gọi 1 lần khi load
- Popup mở ngay (không loading delay); Network KHÔNG có request GetListEvoucher mới (dùng cache)
- Mỗi row: voucherCode, description, note, expiredDate (dd/MM/yyyy), nút 'Điều kiện' + control chọn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</si>
</sst>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/>
    <font>
      <b/>
      <sz val="12.0"/>
      <color rgb="FFFFFFFF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</fills>
  <borders count="15">
    <border/>
    <border>
      <left/>
      <right/>
      <top/>
      <bottom/>
    </border>
    <border>
      <left/>
      <right/>
      <top/>
    </border>
    <border>
      <left/>
      <top/>
    </border>
    <border>
      <top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2" fillId="2" fontId="4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0" fontId="5" numFmtId="0" xfId="0" applyBorder="1" applyFont="1"/>
    <xf borderId="1" fillId="2" fontId="2" numFmtId="0" xfId="0" applyAlignment="1" applyBorder="1" applyFont="1">
      <alignment shrinkToFit="0" vertical="center" wrapText="1"/>
    </xf>
    <xf borderId="5" fillId="3" fontId="6" numFmtId="0" xfId="0" applyAlignment="1" applyBorder="1" applyFill="1" applyFont="1">
      <alignment horizontal="left" shrinkToFit="0" vertical="center" wrapText="1"/>
    </xf>
    <xf borderId="6" fillId="0" fontId="5" numFmtId="0" xfId="0" applyBorder="1" applyFont="1"/>
    <xf borderId="7" fillId="0" fontId="5" numFmtId="0" xfId="0" applyBorder="1" applyFont="1"/>
    <xf borderId="5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3" fontId="8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vertical="center"/>
    </xf>
    <xf borderId="10" fillId="4" fontId="10" numFmtId="0" xfId="0" applyAlignment="1" applyBorder="1" applyFill="1" applyFont="1">
      <alignment vertical="center"/>
    </xf>
    <xf borderId="11" fillId="4" fontId="10" numFmtId="0" xfId="0" applyAlignment="1" applyBorder="1" applyFont="1">
      <alignment vertical="center"/>
    </xf>
    <xf borderId="14" fillId="5" fontId="10" numFmtId="0" xfId="0" applyAlignment="1" applyBorder="1" applyFill="1" applyFont="1">
      <alignment horizontal="center" readingOrder="0" vertical="center"/>
    </xf>
    <xf borderId="14" fillId="0" fontId="10" numFmtId="0" xfId="0" applyAlignment="1" applyBorder="1" applyFont="1">
      <alignment vertical="center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readingOrder="0" vertical="center"/>
    </xf>
    <xf borderId="14" fillId="0" fontId="9" numFmtId="0" xfId="0" applyAlignment="1" applyBorder="1" applyFont="1">
      <alignment vertical="bottom"/>
    </xf>
    <xf borderId="14" fillId="0" fontId="9" numFmtId="0" xfId="0" applyAlignment="1" applyBorder="1" applyFont="1">
      <alignment vertical="center"/>
    </xf>
    <xf borderId="14" fillId="0" fontId="9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8">
    <dxf>
      <font>
        <b/>
        <color rgb="FFFFFFFF"/>
      </font>
      <fill>
        <patternFill patternType="solid">
          <fgColor rgb="FF808080"/>
          <bgColor rgb="FF80808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6FAC46"/>
          <bgColor rgb="FF6FAC46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>
        <b/>
        <color rgb="FFFFFFFF"/>
      </font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6FAC46"/>
          <bgColor rgb="FF6FAC4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E699"/>
          <bgColor rgb="FFFFE6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1752600" cy="533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2" width="8.88"/>
    <col customWidth="1" min="3" max="3" width="11.25"/>
    <col customWidth="1" min="4" max="4" width="35.63"/>
    <col customWidth="1" min="5" max="5" width="26.88"/>
    <col customWidth="1" min="6" max="6" width="31.75"/>
    <col customWidth="1" min="7" max="7" width="33.13"/>
    <col customWidth="1" min="8" max="10" width="8.38"/>
    <col customWidth="1" min="11" max="11" width="13.38"/>
    <col customWidth="1" min="12" max="12" width="8.38"/>
    <col customWidth="1" min="13" max="13" width="17.75"/>
  </cols>
  <sheetData>
    <row r="1" ht="30.0" customHeight="1" outlineLevel="1">
      <c r="A1" s="1"/>
      <c r="B1" s="2"/>
      <c r="C1" s="3"/>
      <c r="D1" s="4"/>
      <c r="E1" s="4"/>
      <c r="F1" s="5"/>
      <c r="G1" s="6"/>
      <c r="H1" s="3"/>
      <c r="I1" s="7"/>
      <c r="J1" s="8"/>
      <c r="K1" s="9"/>
      <c r="L1" s="8"/>
      <c r="M1" s="9"/>
    </row>
    <row r="2" ht="30.0" customHeight="1" outlineLevel="1">
      <c r="A2" s="1"/>
      <c r="B2" s="10"/>
      <c r="C2" s="11"/>
      <c r="D2" s="12"/>
      <c r="E2" s="12"/>
      <c r="F2" s="12"/>
      <c r="G2" s="13"/>
      <c r="H2" s="3"/>
      <c r="I2" s="7"/>
      <c r="J2" s="8"/>
      <c r="K2" s="9"/>
      <c r="L2" s="8"/>
      <c r="M2" s="9"/>
    </row>
    <row r="3" ht="36.75" customHeight="1" outlineLevel="1">
      <c r="A3" s="14" t="s">
        <v>0</v>
      </c>
      <c r="B3" s="15"/>
      <c r="C3" s="16"/>
      <c r="D3" s="17" t="s">
        <v>1</v>
      </c>
      <c r="E3" s="16"/>
      <c r="F3" s="18"/>
      <c r="G3" s="19"/>
      <c r="H3" s="3"/>
      <c r="I3" s="7"/>
      <c r="J3" s="8"/>
      <c r="K3" s="18"/>
      <c r="L3" s="8"/>
      <c r="M3" s="18"/>
    </row>
    <row r="4" ht="36.0" customHeight="1" outlineLevel="1">
      <c r="A4" s="14" t="s">
        <v>2</v>
      </c>
      <c r="B4" s="15"/>
      <c r="C4" s="16"/>
      <c r="D4" s="20"/>
      <c r="E4" s="16"/>
      <c r="F4" s="18"/>
      <c r="G4" s="19"/>
      <c r="H4" s="3"/>
      <c r="I4" s="7"/>
      <c r="J4" s="8"/>
      <c r="K4" s="18"/>
      <c r="L4" s="8"/>
      <c r="M4" s="18"/>
    </row>
    <row r="5" ht="10.5" customHeight="1" outlineLevel="1">
      <c r="A5" s="1"/>
      <c r="B5" s="21"/>
      <c r="C5" s="21"/>
      <c r="D5" s="21"/>
      <c r="E5" s="21"/>
      <c r="F5" s="22"/>
      <c r="G5" s="23"/>
      <c r="H5" s="3"/>
      <c r="I5" s="7"/>
      <c r="J5" s="8"/>
      <c r="K5" s="9"/>
      <c r="L5" s="8"/>
      <c r="M5" s="9"/>
    </row>
    <row r="6" ht="10.5" customHeight="1" outlineLevel="1">
      <c r="A6" s="1"/>
      <c r="B6" s="24"/>
      <c r="C6" s="24"/>
      <c r="D6" s="24"/>
      <c r="E6" s="24"/>
      <c r="F6" s="24"/>
      <c r="G6" s="25"/>
      <c r="H6" s="3"/>
      <c r="I6" s="7"/>
      <c r="J6" s="8"/>
      <c r="K6" s="9"/>
      <c r="L6" s="8"/>
      <c r="M6" s="9"/>
    </row>
    <row r="7">
      <c r="A7" s="26" t="s">
        <v>3</v>
      </c>
      <c r="B7" s="26" t="s">
        <v>4</v>
      </c>
      <c r="C7" s="26" t="s">
        <v>5</v>
      </c>
      <c r="D7" s="26" t="s">
        <v>6</v>
      </c>
      <c r="E7" s="26" t="s">
        <v>7</v>
      </c>
      <c r="F7" s="26" t="s">
        <v>8</v>
      </c>
      <c r="G7" s="26" t="s">
        <v>9</v>
      </c>
      <c r="H7" s="27" t="str">
        <f>Summary!D8</f>
        <v>#REF!</v>
      </c>
      <c r="I7" s="28"/>
      <c r="J7" s="28"/>
      <c r="K7" s="29"/>
      <c r="L7" s="27"/>
      <c r="M7" s="29"/>
    </row>
    <row r="8">
      <c r="A8" s="30"/>
      <c r="B8" s="30"/>
      <c r="C8" s="30"/>
      <c r="D8" s="30"/>
      <c r="E8" s="30"/>
      <c r="F8" s="30"/>
      <c r="G8" s="30"/>
      <c r="H8" s="31" t="s">
        <v>10</v>
      </c>
      <c r="I8" s="31" t="s">
        <v>11</v>
      </c>
      <c r="J8" s="31" t="s">
        <v>12</v>
      </c>
      <c r="K8" s="31" t="s">
        <v>13</v>
      </c>
      <c r="L8" s="31" t="s">
        <v>12</v>
      </c>
      <c r="M8" s="31" t="s">
        <v>13</v>
      </c>
    </row>
    <row r="9">
      <c r="A9" s="32"/>
      <c r="B9" s="33" t="s">
        <v>14</v>
      </c>
      <c r="C9" s="34"/>
      <c r="D9" s="34"/>
      <c r="E9" s="34"/>
      <c r="F9" s="34"/>
      <c r="G9" s="34"/>
      <c r="H9" s="35" t="s">
        <v>15</v>
      </c>
      <c r="I9" s="36"/>
      <c r="J9" s="36"/>
      <c r="K9" s="36"/>
      <c r="L9" s="36"/>
      <c r="M9" s="36"/>
    </row>
    <row r="10" outlineLevel="1">
      <c r="A10" s="37" t="s">
        <v>16</v>
      </c>
      <c r="B10" s="38" t="str">
        <f t="shared" ref="B10:B20" si="1">IF(D10="","",$D$3&amp;"."&amp;COUNTA($D$9:D10)&amp;"")</f>
        <v>TC_02.1</v>
      </c>
      <c r="C10" s="37" t="s">
        <v>17</v>
      </c>
      <c r="D10" s="39" t="s">
        <v>18</v>
      </c>
      <c r="E10" s="39" t="s">
        <v>19</v>
      </c>
      <c r="F10" s="39" t="s">
        <v>20</v>
      </c>
      <c r="G10" s="40" t="s">
        <v>21</v>
      </c>
      <c r="H10" s="41"/>
      <c r="I10" s="42" t="s">
        <v>22</v>
      </c>
      <c r="J10" s="43"/>
      <c r="K10" s="43"/>
      <c r="L10" s="32"/>
      <c r="M10" s="43"/>
    </row>
    <row r="11" outlineLevel="1">
      <c r="A11" s="37" t="s">
        <v>16</v>
      </c>
      <c r="B11" s="38" t="str">
        <f t="shared" si="1"/>
        <v>TC_02.2</v>
      </c>
      <c r="C11" s="37" t="s">
        <v>17</v>
      </c>
      <c r="D11" s="39" t="s">
        <v>23</v>
      </c>
      <c r="E11" s="39" t="s">
        <v>24</v>
      </c>
      <c r="F11" s="39" t="s">
        <v>25</v>
      </c>
      <c r="G11" s="39" t="s">
        <v>26</v>
      </c>
      <c r="H11" s="41"/>
      <c r="I11" s="32"/>
      <c r="J11" s="43"/>
      <c r="K11" s="43"/>
      <c r="L11" s="32"/>
      <c r="M11" s="43"/>
    </row>
    <row r="12" outlineLevel="1">
      <c r="A12" s="37" t="s">
        <v>16</v>
      </c>
      <c r="B12" s="38" t="str">
        <f t="shared" si="1"/>
        <v>TC_02.3</v>
      </c>
      <c r="C12" s="37" t="s">
        <v>17</v>
      </c>
      <c r="D12" s="39" t="s">
        <v>27</v>
      </c>
      <c r="E12" s="39" t="s">
        <v>28</v>
      </c>
      <c r="F12" s="39" t="s">
        <v>29</v>
      </c>
      <c r="G12" s="39" t="s">
        <v>30</v>
      </c>
      <c r="H12" s="41"/>
      <c r="I12" s="32"/>
      <c r="J12" s="43"/>
      <c r="K12" s="43"/>
      <c r="L12" s="32"/>
      <c r="M12" s="43"/>
    </row>
    <row r="13" outlineLevel="1">
      <c r="A13" s="37" t="s">
        <v>16</v>
      </c>
      <c r="B13" s="38" t="str">
        <f t="shared" si="1"/>
        <v>TC_02.4</v>
      </c>
      <c r="C13" s="37" t="s">
        <v>31</v>
      </c>
      <c r="D13" s="39" t="s">
        <v>32</v>
      </c>
      <c r="E13" s="39" t="s">
        <v>33</v>
      </c>
      <c r="F13" s="39" t="s">
        <v>34</v>
      </c>
      <c r="G13" s="39" t="s">
        <v>35</v>
      </c>
      <c r="H13" s="41"/>
      <c r="I13" s="32"/>
      <c r="J13" s="43"/>
      <c r="K13" s="43"/>
      <c r="L13" s="43"/>
      <c r="M13" s="43"/>
    </row>
    <row r="14" outlineLevel="1">
      <c r="A14" s="37" t="s">
        <v>16</v>
      </c>
      <c r="B14" s="38" t="str">
        <f t="shared" si="1"/>
        <v>TC_02.5</v>
      </c>
      <c r="C14" s="37" t="s">
        <v>31</v>
      </c>
      <c r="D14" s="39" t="s">
        <v>36</v>
      </c>
      <c r="E14" s="39" t="s">
        <v>37</v>
      </c>
      <c r="F14" s="39" t="s">
        <v>38</v>
      </c>
      <c r="G14" s="39" t="s">
        <v>39</v>
      </c>
      <c r="H14" s="41"/>
      <c r="I14" s="32"/>
      <c r="J14" s="43"/>
      <c r="K14" s="43"/>
      <c r="L14" s="43"/>
      <c r="M14" s="43"/>
    </row>
    <row r="15" outlineLevel="1">
      <c r="A15" s="37" t="s">
        <v>16</v>
      </c>
      <c r="B15" s="38" t="str">
        <f t="shared" si="1"/>
        <v>TC_02.6</v>
      </c>
      <c r="C15" s="37" t="s">
        <v>17</v>
      </c>
      <c r="D15" s="39" t="s">
        <v>40</v>
      </c>
      <c r="E15" s="39" t="s">
        <v>41</v>
      </c>
      <c r="F15" s="39" t="s">
        <v>42</v>
      </c>
      <c r="G15" s="39" t="s">
        <v>43</v>
      </c>
      <c r="H15" s="41"/>
      <c r="I15" s="32"/>
      <c r="J15" s="43"/>
      <c r="K15" s="43"/>
      <c r="L15" s="43"/>
      <c r="M15" s="43"/>
    </row>
    <row r="16" outlineLevel="1">
      <c r="A16" s="38" t="s">
        <v>16</v>
      </c>
      <c r="B16" s="38" t="str">
        <f t="shared" si="1"/>
        <v>TC_02.7</v>
      </c>
      <c r="C16" s="37" t="s">
        <v>17</v>
      </c>
      <c r="D16" s="39" t="s">
        <v>44</v>
      </c>
      <c r="E16" s="39" t="s">
        <v>45</v>
      </c>
      <c r="F16" s="39" t="s">
        <v>46</v>
      </c>
      <c r="G16" s="39" t="s">
        <v>47</v>
      </c>
      <c r="H16" s="41"/>
      <c r="I16" s="32"/>
      <c r="J16" s="43"/>
      <c r="K16" s="43"/>
      <c r="L16" s="43"/>
      <c r="M16" s="43"/>
    </row>
    <row r="17" outlineLevel="1">
      <c r="A17" s="38" t="s">
        <v>16</v>
      </c>
      <c r="B17" s="38" t="str">
        <f t="shared" si="1"/>
        <v>TC_02.8</v>
      </c>
      <c r="C17" s="37" t="s">
        <v>17</v>
      </c>
      <c r="D17" s="39" t="s">
        <v>48</v>
      </c>
      <c r="E17" s="39" t="s">
        <v>49</v>
      </c>
      <c r="F17" s="39" t="s">
        <v>50</v>
      </c>
      <c r="G17" s="39" t="s">
        <v>51</v>
      </c>
      <c r="H17" s="41"/>
      <c r="I17" s="32"/>
      <c r="J17" s="43"/>
      <c r="K17" s="43"/>
      <c r="L17" s="43"/>
      <c r="M17" s="43"/>
    </row>
    <row r="18" outlineLevel="1">
      <c r="A18" s="38" t="s">
        <v>16</v>
      </c>
      <c r="B18" s="38" t="str">
        <f t="shared" si="1"/>
        <v>TC_02.9</v>
      </c>
      <c r="C18" s="37" t="s">
        <v>17</v>
      </c>
      <c r="D18" s="39" t="s">
        <v>52</v>
      </c>
      <c r="E18" s="39" t="s">
        <v>53</v>
      </c>
      <c r="F18" s="39" t="s">
        <v>54</v>
      </c>
      <c r="G18" s="39" t="s">
        <v>55</v>
      </c>
      <c r="H18" s="41"/>
      <c r="I18" s="32"/>
      <c r="J18" s="43"/>
      <c r="K18" s="43"/>
      <c r="L18" s="43"/>
      <c r="M18" s="43"/>
    </row>
    <row r="19" outlineLevel="1">
      <c r="A19" s="38" t="s">
        <v>16</v>
      </c>
      <c r="B19" s="38" t="str">
        <f t="shared" si="1"/>
        <v>TC_02.10</v>
      </c>
      <c r="C19" s="37" t="s">
        <v>31</v>
      </c>
      <c r="D19" s="39" t="s">
        <v>56</v>
      </c>
      <c r="E19" s="39" t="s">
        <v>57</v>
      </c>
      <c r="F19" s="39" t="s">
        <v>58</v>
      </c>
      <c r="G19" s="39" t="s">
        <v>59</v>
      </c>
      <c r="H19" s="41"/>
      <c r="I19" s="32"/>
      <c r="J19" s="43"/>
      <c r="K19" s="43"/>
      <c r="L19" s="43"/>
      <c r="M19" s="43"/>
    </row>
    <row r="20" outlineLevel="1">
      <c r="A20" s="37" t="s">
        <v>16</v>
      </c>
      <c r="B20" s="37" t="str">
        <f t="shared" si="1"/>
        <v>TC_02.11</v>
      </c>
      <c r="C20" s="37" t="s">
        <v>31</v>
      </c>
      <c r="D20" s="39" t="s">
        <v>60</v>
      </c>
      <c r="E20" s="39" t="s">
        <v>61</v>
      </c>
      <c r="F20" s="39" t="s">
        <v>62</v>
      </c>
      <c r="G20" s="39" t="s">
        <v>63</v>
      </c>
      <c r="H20" s="41"/>
      <c r="I20" s="32"/>
      <c r="J20" s="43"/>
      <c r="K20" s="43"/>
      <c r="L20" s="43"/>
      <c r="M20" s="43"/>
    </row>
    <row r="21">
      <c r="A21" s="44"/>
      <c r="B21" s="33" t="s">
        <v>64</v>
      </c>
      <c r="C21" s="28"/>
      <c r="D21" s="28"/>
      <c r="E21" s="28"/>
      <c r="F21" s="28"/>
      <c r="G21" s="29"/>
      <c r="H21" s="36"/>
      <c r="I21" s="36"/>
      <c r="J21" s="36"/>
      <c r="K21" s="36"/>
      <c r="L21" s="36"/>
      <c r="M21" s="36"/>
    </row>
    <row r="22" outlineLevel="1">
      <c r="A22" s="38" t="s">
        <v>16</v>
      </c>
      <c r="B22" s="38" t="str">
        <f t="shared" ref="B22:B26" si="2">IF(D22="","",$D$3&amp;"."&amp;COUNTA($D$9:D22)&amp;"")</f>
        <v>TC_02.12</v>
      </c>
      <c r="C22" s="37" t="s">
        <v>31</v>
      </c>
      <c r="D22" s="39" t="s">
        <v>65</v>
      </c>
      <c r="E22" s="39" t="s">
        <v>66</v>
      </c>
      <c r="F22" s="39" t="s">
        <v>67</v>
      </c>
      <c r="G22" s="39" t="s">
        <v>68</v>
      </c>
      <c r="H22" s="41"/>
      <c r="I22" s="32"/>
      <c r="J22" s="43"/>
      <c r="K22" s="43"/>
      <c r="L22" s="43"/>
      <c r="M22" s="43"/>
    </row>
    <row r="23" outlineLevel="1">
      <c r="A23" s="38" t="s">
        <v>16</v>
      </c>
      <c r="B23" s="38" t="str">
        <f t="shared" si="2"/>
        <v>TC_02.13</v>
      </c>
      <c r="C23" s="37" t="s">
        <v>17</v>
      </c>
      <c r="D23" s="39" t="s">
        <v>69</v>
      </c>
      <c r="E23" s="39" t="s">
        <v>70</v>
      </c>
      <c r="F23" s="39" t="s">
        <v>71</v>
      </c>
      <c r="G23" s="39" t="s">
        <v>72</v>
      </c>
      <c r="H23" s="41"/>
      <c r="I23" s="32"/>
      <c r="J23" s="43"/>
      <c r="K23" s="43"/>
      <c r="L23" s="43"/>
      <c r="M23" s="43"/>
    </row>
    <row r="24" outlineLevel="1">
      <c r="A24" s="38" t="s">
        <v>16</v>
      </c>
      <c r="B24" s="38" t="str">
        <f t="shared" si="2"/>
        <v>TC_02.14</v>
      </c>
      <c r="C24" s="37" t="s">
        <v>31</v>
      </c>
      <c r="D24" s="39" t="s">
        <v>73</v>
      </c>
      <c r="E24" s="39" t="s">
        <v>74</v>
      </c>
      <c r="F24" s="39" t="s">
        <v>75</v>
      </c>
      <c r="G24" s="39" t="s">
        <v>76</v>
      </c>
      <c r="H24" s="41"/>
      <c r="I24" s="32"/>
      <c r="J24" s="43"/>
      <c r="K24" s="43"/>
      <c r="L24" s="43"/>
      <c r="M24" s="43"/>
    </row>
    <row r="25" outlineLevel="1">
      <c r="A25" s="37" t="s">
        <v>16</v>
      </c>
      <c r="B25" s="38" t="str">
        <f t="shared" si="2"/>
        <v>TC_02.15</v>
      </c>
      <c r="C25" s="37" t="s">
        <v>17</v>
      </c>
      <c r="D25" s="39" t="s">
        <v>77</v>
      </c>
      <c r="E25" s="39" t="s">
        <v>78</v>
      </c>
      <c r="F25" s="39" t="s">
        <v>79</v>
      </c>
      <c r="G25" s="39" t="s">
        <v>80</v>
      </c>
      <c r="H25" s="41"/>
      <c r="I25" s="32"/>
      <c r="J25" s="43"/>
      <c r="K25" s="43"/>
      <c r="L25" s="43"/>
      <c r="M25" s="43"/>
    </row>
    <row r="26" outlineLevel="1">
      <c r="A26" s="37" t="s">
        <v>16</v>
      </c>
      <c r="B26" s="38" t="str">
        <f t="shared" si="2"/>
        <v>TC_02.16</v>
      </c>
      <c r="C26" s="37" t="s">
        <v>17</v>
      </c>
      <c r="D26" s="39" t="s">
        <v>81</v>
      </c>
      <c r="E26" s="39" t="s">
        <v>82</v>
      </c>
      <c r="F26" s="39" t="s">
        <v>83</v>
      </c>
      <c r="G26" s="39" t="s">
        <v>84</v>
      </c>
      <c r="H26" s="41"/>
      <c r="I26" s="32"/>
      <c r="J26" s="43"/>
      <c r="K26" s="43"/>
      <c r="L26" s="43"/>
      <c r="M26" s="43"/>
    </row>
    <row r="27">
      <c r="A27" s="32"/>
      <c r="B27" s="33" t="s">
        <v>85</v>
      </c>
      <c r="C27" s="28"/>
      <c r="D27" s="28"/>
      <c r="E27" s="28"/>
      <c r="F27" s="28"/>
      <c r="G27" s="29"/>
      <c r="H27" s="36"/>
      <c r="I27" s="36"/>
      <c r="J27" s="36"/>
      <c r="K27" s="36"/>
      <c r="L27" s="36"/>
      <c r="M27" s="36"/>
    </row>
    <row r="28" outlineLevel="1">
      <c r="A28" s="37" t="s">
        <v>16</v>
      </c>
      <c r="B28" s="38" t="str">
        <f t="shared" ref="B28:B35" si="3">IF(D28="","",$D$3&amp;"."&amp;COUNTA($D$9:D28)&amp;"")</f>
        <v>TC_02.17</v>
      </c>
      <c r="C28" s="37" t="s">
        <v>17</v>
      </c>
      <c r="D28" s="39" t="s">
        <v>86</v>
      </c>
      <c r="E28" s="39" t="s">
        <v>87</v>
      </c>
      <c r="F28" s="39" t="s">
        <v>88</v>
      </c>
      <c r="G28" s="39" t="s">
        <v>89</v>
      </c>
      <c r="H28" s="41"/>
      <c r="I28" s="32"/>
      <c r="J28" s="43"/>
      <c r="K28" s="43"/>
      <c r="L28" s="43"/>
      <c r="M28" s="43"/>
    </row>
    <row r="29" outlineLevel="1">
      <c r="A29" s="37" t="s">
        <v>16</v>
      </c>
      <c r="B29" s="38" t="str">
        <f t="shared" si="3"/>
        <v>TC_02.18</v>
      </c>
      <c r="C29" s="37" t="s">
        <v>17</v>
      </c>
      <c r="D29" s="39" t="s">
        <v>90</v>
      </c>
      <c r="E29" s="39" t="s">
        <v>91</v>
      </c>
      <c r="F29" s="39" t="s">
        <v>92</v>
      </c>
      <c r="G29" s="39" t="s">
        <v>93</v>
      </c>
      <c r="H29" s="41"/>
      <c r="I29" s="32"/>
      <c r="J29" s="43"/>
      <c r="K29" s="43"/>
      <c r="L29" s="43"/>
      <c r="M29" s="43"/>
    </row>
    <row r="30" outlineLevel="1">
      <c r="A30" s="37" t="s">
        <v>16</v>
      </c>
      <c r="B30" s="38" t="str">
        <f t="shared" si="3"/>
        <v>TC_02.19</v>
      </c>
      <c r="C30" s="37" t="s">
        <v>31</v>
      </c>
      <c r="D30" s="39" t="s">
        <v>94</v>
      </c>
      <c r="E30" s="39" t="s">
        <v>95</v>
      </c>
      <c r="F30" s="39" t="s">
        <v>96</v>
      </c>
      <c r="G30" s="39" t="s">
        <v>97</v>
      </c>
      <c r="H30" s="41"/>
      <c r="I30" s="32"/>
      <c r="J30" s="43"/>
      <c r="K30" s="43"/>
      <c r="L30" s="43"/>
      <c r="M30" s="43"/>
    </row>
    <row r="31" outlineLevel="1">
      <c r="A31" s="37" t="s">
        <v>16</v>
      </c>
      <c r="B31" s="38" t="str">
        <f t="shared" si="3"/>
        <v>TC_02.20</v>
      </c>
      <c r="C31" s="37" t="s">
        <v>17</v>
      </c>
      <c r="D31" s="39" t="s">
        <v>98</v>
      </c>
      <c r="E31" s="39" t="s">
        <v>99</v>
      </c>
      <c r="F31" s="39" t="s">
        <v>100</v>
      </c>
      <c r="G31" s="39" t="s">
        <v>101</v>
      </c>
      <c r="H31" s="41"/>
      <c r="I31" s="32"/>
      <c r="J31" s="43"/>
      <c r="K31" s="43"/>
      <c r="L31" s="43"/>
      <c r="M31" s="43"/>
    </row>
    <row r="32" outlineLevel="1">
      <c r="A32" s="37" t="s">
        <v>16</v>
      </c>
      <c r="B32" s="38" t="str">
        <f t="shared" si="3"/>
        <v>TC_02.21</v>
      </c>
      <c r="C32" s="37" t="s">
        <v>31</v>
      </c>
      <c r="D32" s="39" t="s">
        <v>102</v>
      </c>
      <c r="E32" s="39" t="s">
        <v>103</v>
      </c>
      <c r="F32" s="39" t="s">
        <v>104</v>
      </c>
      <c r="G32" s="39" t="s">
        <v>105</v>
      </c>
      <c r="H32" s="41"/>
      <c r="I32" s="32"/>
      <c r="J32" s="43"/>
      <c r="K32" s="43"/>
      <c r="L32" s="43"/>
      <c r="M32" s="43"/>
    </row>
    <row r="33" outlineLevel="1">
      <c r="A33" s="37" t="s">
        <v>16</v>
      </c>
      <c r="B33" s="38" t="str">
        <f t="shared" si="3"/>
        <v>TC_02.22</v>
      </c>
      <c r="C33" s="37" t="s">
        <v>31</v>
      </c>
      <c r="D33" s="39" t="s">
        <v>106</v>
      </c>
      <c r="E33" s="39" t="s">
        <v>107</v>
      </c>
      <c r="F33" s="39" t="s">
        <v>108</v>
      </c>
      <c r="G33" s="39" t="s">
        <v>109</v>
      </c>
      <c r="H33" s="41"/>
      <c r="I33" s="32"/>
      <c r="J33" s="43"/>
      <c r="K33" s="43"/>
      <c r="L33" s="43"/>
      <c r="M33" s="43"/>
    </row>
    <row r="34" outlineLevel="1">
      <c r="A34" s="37" t="s">
        <v>16</v>
      </c>
      <c r="B34" s="38" t="str">
        <f t="shared" si="3"/>
        <v>TC_02.23</v>
      </c>
      <c r="C34" s="37" t="s">
        <v>17</v>
      </c>
      <c r="D34" s="39" t="s">
        <v>110</v>
      </c>
      <c r="E34" s="39" t="s">
        <v>111</v>
      </c>
      <c r="F34" s="39" t="s">
        <v>112</v>
      </c>
      <c r="G34" s="39" t="s">
        <v>113</v>
      </c>
      <c r="H34" s="41"/>
      <c r="I34" s="32"/>
      <c r="J34" s="43"/>
      <c r="K34" s="43"/>
      <c r="L34" s="43"/>
      <c r="M34" s="43"/>
    </row>
    <row r="35" outlineLevel="1">
      <c r="A35" s="37" t="s">
        <v>16</v>
      </c>
      <c r="B35" s="38" t="str">
        <f t="shared" si="3"/>
        <v>TC_02.24</v>
      </c>
      <c r="C35" s="37" t="s">
        <v>31</v>
      </c>
      <c r="D35" s="39" t="s">
        <v>114</v>
      </c>
      <c r="E35" s="39" t="s">
        <v>115</v>
      </c>
      <c r="F35" s="39" t="s">
        <v>116</v>
      </c>
      <c r="G35" s="39" t="s">
        <v>117</v>
      </c>
      <c r="H35" s="41"/>
      <c r="I35" s="32"/>
      <c r="J35" s="43"/>
      <c r="K35" s="43"/>
      <c r="L35" s="43"/>
      <c r="M35" s="43"/>
    </row>
    <row r="36">
      <c r="A36" s="32"/>
      <c r="B36" s="33" t="s">
        <v>118</v>
      </c>
      <c r="C36" s="28"/>
      <c r="D36" s="28"/>
      <c r="E36" s="28"/>
      <c r="F36" s="28"/>
      <c r="G36" s="29"/>
      <c r="H36" s="36"/>
      <c r="I36" s="36"/>
      <c r="J36" s="36"/>
      <c r="K36" s="36"/>
      <c r="L36" s="36"/>
      <c r="M36" s="36"/>
    </row>
    <row r="37" outlineLevel="1">
      <c r="A37" s="37" t="s">
        <v>16</v>
      </c>
      <c r="B37" s="38" t="str">
        <f t="shared" ref="B37:B38" si="4">IF(D37="","",$D$3&amp;"."&amp;COUNTA($D$9:D37)&amp;"")</f>
        <v>TC_02.25</v>
      </c>
      <c r="C37" s="37" t="s">
        <v>17</v>
      </c>
      <c r="D37" s="39" t="s">
        <v>119</v>
      </c>
      <c r="E37" s="39" t="s">
        <v>120</v>
      </c>
      <c r="F37" s="39" t="s">
        <v>121</v>
      </c>
      <c r="G37" s="39" t="s">
        <v>122</v>
      </c>
      <c r="H37" s="41"/>
      <c r="I37" s="32"/>
      <c r="J37" s="43"/>
      <c r="K37" s="43"/>
      <c r="L37" s="43"/>
      <c r="M37" s="43"/>
    </row>
    <row r="38" outlineLevel="1">
      <c r="A38" s="37" t="s">
        <v>16</v>
      </c>
      <c r="B38" s="38" t="str">
        <f t="shared" si="4"/>
        <v>TC_02.26</v>
      </c>
      <c r="C38" s="37" t="s">
        <v>123</v>
      </c>
      <c r="D38" s="39" t="s">
        <v>124</v>
      </c>
      <c r="E38" s="39" t="s">
        <v>125</v>
      </c>
      <c r="F38" s="39" t="s">
        <v>126</v>
      </c>
      <c r="G38" s="39" t="s">
        <v>127</v>
      </c>
      <c r="H38" s="41"/>
      <c r="I38" s="32"/>
      <c r="J38" s="43"/>
      <c r="K38" s="43"/>
      <c r="L38" s="43"/>
      <c r="M38" s="43"/>
    </row>
    <row r="39">
      <c r="A39" s="32"/>
      <c r="B39" s="33" t="s">
        <v>128</v>
      </c>
      <c r="C39" s="28"/>
      <c r="D39" s="28"/>
      <c r="E39" s="28"/>
      <c r="F39" s="28"/>
      <c r="G39" s="29"/>
      <c r="H39" s="36"/>
      <c r="I39" s="36"/>
      <c r="J39" s="36"/>
      <c r="K39" s="36"/>
      <c r="L39" s="36"/>
      <c r="M39" s="36"/>
    </row>
    <row r="40" outlineLevel="1">
      <c r="A40" s="37" t="s">
        <v>16</v>
      </c>
      <c r="B40" s="38" t="str">
        <f t="shared" ref="B40:B52" si="5">IF(D40="","",$D$3&amp;"."&amp;COUNTA($D$9:D40)&amp;"")</f>
        <v>TC_02.27</v>
      </c>
      <c r="C40" s="37" t="s">
        <v>17</v>
      </c>
      <c r="D40" s="39" t="s">
        <v>129</v>
      </c>
      <c r="E40" s="39" t="s">
        <v>130</v>
      </c>
      <c r="F40" s="39" t="s">
        <v>131</v>
      </c>
      <c r="G40" s="39" t="s">
        <v>132</v>
      </c>
      <c r="H40" s="41"/>
      <c r="I40" s="32"/>
      <c r="J40" s="43"/>
      <c r="K40" s="43"/>
      <c r="L40" s="43"/>
      <c r="M40" s="43"/>
    </row>
    <row r="41" outlineLevel="1">
      <c r="A41" s="37" t="s">
        <v>16</v>
      </c>
      <c r="B41" s="38" t="str">
        <f t="shared" si="5"/>
        <v>TC_02.28</v>
      </c>
      <c r="C41" s="37" t="s">
        <v>17</v>
      </c>
      <c r="D41" s="39" t="s">
        <v>133</v>
      </c>
      <c r="E41" s="39" t="s">
        <v>134</v>
      </c>
      <c r="F41" s="39" t="s">
        <v>135</v>
      </c>
      <c r="G41" s="39" t="s">
        <v>136</v>
      </c>
      <c r="H41" s="41"/>
      <c r="I41" s="32"/>
      <c r="J41" s="43"/>
      <c r="K41" s="43"/>
      <c r="L41" s="43"/>
      <c r="M41" s="43"/>
    </row>
    <row r="42" outlineLevel="1">
      <c r="A42" s="37" t="s">
        <v>16</v>
      </c>
      <c r="B42" s="38" t="str">
        <f t="shared" si="5"/>
        <v>TC_02.29</v>
      </c>
      <c r="C42" s="37" t="s">
        <v>17</v>
      </c>
      <c r="D42" s="39" t="s">
        <v>137</v>
      </c>
      <c r="E42" s="39" t="s">
        <v>138</v>
      </c>
      <c r="F42" s="39" t="s">
        <v>139</v>
      </c>
      <c r="G42" s="39" t="s">
        <v>140</v>
      </c>
      <c r="H42" s="41"/>
      <c r="I42" s="32"/>
      <c r="J42" s="43"/>
      <c r="K42" s="43"/>
      <c r="L42" s="43"/>
      <c r="M42" s="43"/>
    </row>
    <row r="43" outlineLevel="1">
      <c r="A43" s="37" t="s">
        <v>16</v>
      </c>
      <c r="B43" s="38" t="str">
        <f t="shared" si="5"/>
        <v>TC_02.30</v>
      </c>
      <c r="C43" s="37" t="s">
        <v>31</v>
      </c>
      <c r="D43" s="39" t="s">
        <v>141</v>
      </c>
      <c r="E43" s="39" t="s">
        <v>142</v>
      </c>
      <c r="F43" s="39" t="s">
        <v>143</v>
      </c>
      <c r="G43" s="39" t="s">
        <v>144</v>
      </c>
      <c r="H43" s="41"/>
      <c r="I43" s="32"/>
      <c r="J43" s="43"/>
      <c r="K43" s="43"/>
      <c r="L43" s="43"/>
      <c r="M43" s="43"/>
    </row>
    <row r="44" outlineLevel="1">
      <c r="A44" s="37" t="s">
        <v>16</v>
      </c>
      <c r="B44" s="38" t="str">
        <f t="shared" si="5"/>
        <v>TC_02.31</v>
      </c>
      <c r="C44" s="37" t="s">
        <v>17</v>
      </c>
      <c r="D44" s="39" t="s">
        <v>145</v>
      </c>
      <c r="E44" s="39" t="s">
        <v>146</v>
      </c>
      <c r="F44" s="39" t="s">
        <v>147</v>
      </c>
      <c r="G44" s="39" t="s">
        <v>148</v>
      </c>
      <c r="H44" s="41"/>
      <c r="I44" s="32"/>
      <c r="J44" s="43"/>
      <c r="K44" s="43"/>
      <c r="L44" s="43"/>
      <c r="M44" s="43"/>
    </row>
    <row r="45" outlineLevel="1">
      <c r="A45" s="37" t="s">
        <v>16</v>
      </c>
      <c r="B45" s="38" t="str">
        <f t="shared" si="5"/>
        <v>TC_02.32</v>
      </c>
      <c r="C45" s="37" t="s">
        <v>17</v>
      </c>
      <c r="D45" s="39" t="s">
        <v>149</v>
      </c>
      <c r="E45" s="39" t="s">
        <v>150</v>
      </c>
      <c r="F45" s="39" t="s">
        <v>151</v>
      </c>
      <c r="G45" s="39" t="s">
        <v>152</v>
      </c>
      <c r="H45" s="41"/>
      <c r="I45" s="32"/>
      <c r="J45" s="43"/>
      <c r="K45" s="43"/>
      <c r="L45" s="43"/>
      <c r="M45" s="43"/>
    </row>
    <row r="46" outlineLevel="1">
      <c r="A46" s="37" t="s">
        <v>16</v>
      </c>
      <c r="B46" s="38" t="str">
        <f t="shared" si="5"/>
        <v>TC_02.33</v>
      </c>
      <c r="C46" s="37" t="s">
        <v>31</v>
      </c>
      <c r="D46" s="39" t="s">
        <v>153</v>
      </c>
      <c r="E46" s="39" t="s">
        <v>154</v>
      </c>
      <c r="F46" s="39" t="s">
        <v>155</v>
      </c>
      <c r="G46" s="39" t="s">
        <v>156</v>
      </c>
      <c r="H46" s="41"/>
      <c r="I46" s="32"/>
      <c r="J46" s="43"/>
      <c r="K46" s="43"/>
      <c r="L46" s="43"/>
      <c r="M46" s="43"/>
    </row>
    <row r="47" outlineLevel="1">
      <c r="A47" s="37" t="s">
        <v>16</v>
      </c>
      <c r="B47" s="38" t="str">
        <f t="shared" si="5"/>
        <v>TC_02.34</v>
      </c>
      <c r="C47" s="37" t="s">
        <v>31</v>
      </c>
      <c r="D47" s="39" t="s">
        <v>157</v>
      </c>
      <c r="E47" s="39" t="s">
        <v>158</v>
      </c>
      <c r="F47" s="39" t="s">
        <v>159</v>
      </c>
      <c r="G47" s="39" t="s">
        <v>160</v>
      </c>
      <c r="H47" s="41"/>
      <c r="I47" s="32"/>
      <c r="J47" s="43"/>
      <c r="K47" s="43"/>
      <c r="L47" s="43"/>
      <c r="M47" s="43"/>
    </row>
    <row r="48" outlineLevel="1">
      <c r="A48" s="37" t="s">
        <v>16</v>
      </c>
      <c r="B48" s="38" t="str">
        <f t="shared" si="5"/>
        <v>TC_02.35</v>
      </c>
      <c r="C48" s="37" t="s">
        <v>31</v>
      </c>
      <c r="D48" s="39" t="s">
        <v>161</v>
      </c>
      <c r="E48" s="39" t="s">
        <v>162</v>
      </c>
      <c r="F48" s="39" t="s">
        <v>163</v>
      </c>
      <c r="G48" s="39" t="s">
        <v>164</v>
      </c>
      <c r="H48" s="41"/>
      <c r="I48" s="32"/>
      <c r="J48" s="43"/>
      <c r="K48" s="43"/>
      <c r="L48" s="43"/>
      <c r="M48" s="43"/>
    </row>
    <row r="49" outlineLevel="1">
      <c r="A49" s="37" t="s">
        <v>16</v>
      </c>
      <c r="B49" s="38" t="str">
        <f t="shared" si="5"/>
        <v>TC_02.36</v>
      </c>
      <c r="C49" s="37" t="s">
        <v>31</v>
      </c>
      <c r="D49" s="39" t="s">
        <v>165</v>
      </c>
      <c r="E49" s="39" t="s">
        <v>166</v>
      </c>
      <c r="F49" s="39" t="s">
        <v>167</v>
      </c>
      <c r="G49" s="39" t="s">
        <v>168</v>
      </c>
      <c r="H49" s="41"/>
      <c r="I49" s="32"/>
      <c r="J49" s="43"/>
      <c r="K49" s="43"/>
      <c r="L49" s="43"/>
      <c r="M49" s="43"/>
    </row>
    <row r="50" outlineLevel="1">
      <c r="A50" s="37" t="s">
        <v>16</v>
      </c>
      <c r="B50" s="38" t="str">
        <f t="shared" si="5"/>
        <v>TC_02.37</v>
      </c>
      <c r="C50" s="37" t="s">
        <v>31</v>
      </c>
      <c r="D50" s="39" t="s">
        <v>169</v>
      </c>
      <c r="E50" s="39" t="s">
        <v>170</v>
      </c>
      <c r="F50" s="39" t="s">
        <v>171</v>
      </c>
      <c r="G50" s="39" t="s">
        <v>172</v>
      </c>
      <c r="H50" s="41"/>
      <c r="I50" s="32"/>
      <c r="J50" s="43"/>
      <c r="K50" s="43"/>
      <c r="L50" s="43"/>
      <c r="M50" s="43"/>
    </row>
    <row r="51" outlineLevel="1">
      <c r="A51" s="37" t="s">
        <v>16</v>
      </c>
      <c r="B51" s="38" t="str">
        <f t="shared" si="5"/>
        <v>TC_02.38</v>
      </c>
      <c r="C51" s="37" t="s">
        <v>123</v>
      </c>
      <c r="D51" s="39" t="s">
        <v>173</v>
      </c>
      <c r="E51" s="39" t="s">
        <v>174</v>
      </c>
      <c r="F51" s="39" t="s">
        <v>175</v>
      </c>
      <c r="G51" s="39" t="s">
        <v>176</v>
      </c>
      <c r="H51" s="41"/>
      <c r="I51" s="32"/>
      <c r="J51" s="43"/>
      <c r="K51" s="43"/>
      <c r="L51" s="43"/>
      <c r="M51" s="43"/>
    </row>
    <row r="52" outlineLevel="1">
      <c r="A52" s="37" t="s">
        <v>16</v>
      </c>
      <c r="B52" s="38" t="str">
        <f t="shared" si="5"/>
        <v>TC_02.39</v>
      </c>
      <c r="C52" s="37" t="s">
        <v>31</v>
      </c>
      <c r="D52" s="39" t="s">
        <v>177</v>
      </c>
      <c r="E52" s="39" t="s">
        <v>178</v>
      </c>
      <c r="F52" s="39" t="s">
        <v>179</v>
      </c>
      <c r="G52" s="39" t="s">
        <v>180</v>
      </c>
      <c r="H52" s="41"/>
      <c r="I52" s="32"/>
      <c r="J52" s="43"/>
      <c r="K52" s="43"/>
      <c r="L52" s="43"/>
      <c r="M52" s="43"/>
    </row>
    <row r="53">
      <c r="A53" s="32"/>
      <c r="B53" s="33" t="s">
        <v>181</v>
      </c>
      <c r="C53" s="28"/>
      <c r="D53" s="28"/>
      <c r="E53" s="28"/>
      <c r="F53" s="28"/>
      <c r="G53" s="29"/>
      <c r="H53" s="36"/>
      <c r="I53" s="36"/>
      <c r="J53" s="36"/>
      <c r="K53" s="36"/>
      <c r="L53" s="36"/>
      <c r="M53" s="36"/>
    </row>
    <row r="54" outlineLevel="1">
      <c r="A54" s="37" t="s">
        <v>16</v>
      </c>
      <c r="B54" s="38" t="str">
        <f>IF(D54="","",$D$3&amp;"."&amp;COUNTA($D$9:D54)&amp;"")</f>
        <v>TC_02.40</v>
      </c>
      <c r="C54" s="37" t="s">
        <v>31</v>
      </c>
      <c r="D54" s="39" t="s">
        <v>182</v>
      </c>
      <c r="E54" s="39" t="s">
        <v>183</v>
      </c>
      <c r="F54" s="39" t="s">
        <v>184</v>
      </c>
      <c r="G54" s="39" t="s">
        <v>185</v>
      </c>
      <c r="H54" s="45"/>
      <c r="I54" s="46"/>
      <c r="J54" s="46"/>
      <c r="K54" s="46"/>
      <c r="L54" s="46"/>
      <c r="M54" s="46"/>
    </row>
    <row r="55">
      <c r="A55" s="47"/>
      <c r="B55" s="48"/>
      <c r="C55" s="47"/>
      <c r="D55" s="49"/>
      <c r="E55" s="49"/>
      <c r="F55" s="49"/>
      <c r="G55" s="49"/>
      <c r="H55" s="50"/>
      <c r="I55" s="46"/>
      <c r="J55" s="46"/>
      <c r="K55" s="46"/>
      <c r="L55" s="46"/>
      <c r="M55" s="46"/>
    </row>
    <row r="56">
      <c r="A56" s="47"/>
      <c r="B56" s="48"/>
      <c r="C56" s="47"/>
      <c r="D56" s="49"/>
      <c r="E56" s="49"/>
      <c r="F56" s="49"/>
      <c r="G56" s="49"/>
      <c r="H56" s="50"/>
      <c r="I56" s="46"/>
      <c r="J56" s="46"/>
      <c r="K56" s="46"/>
      <c r="L56" s="46"/>
      <c r="M56" s="46"/>
    </row>
    <row r="57">
      <c r="A57" s="47"/>
      <c r="B57" s="48"/>
      <c r="C57" s="47"/>
      <c r="D57" s="49"/>
      <c r="E57" s="49"/>
      <c r="F57" s="49"/>
      <c r="G57" s="49"/>
      <c r="H57" s="50"/>
      <c r="I57" s="46"/>
      <c r="J57" s="46"/>
      <c r="K57" s="46"/>
      <c r="L57" s="46"/>
      <c r="M57" s="46"/>
    </row>
    <row r="58">
      <c r="A58" s="47"/>
      <c r="B58" s="48"/>
      <c r="C58" s="47"/>
      <c r="D58" s="49"/>
      <c r="E58" s="49"/>
      <c r="F58" s="49"/>
      <c r="G58" s="49"/>
      <c r="H58" s="50"/>
      <c r="I58" s="46"/>
      <c r="J58" s="46"/>
      <c r="K58" s="46"/>
      <c r="L58" s="46"/>
      <c r="M58" s="46"/>
    </row>
    <row r="59">
      <c r="A59" s="47"/>
      <c r="B59" s="48"/>
      <c r="C59" s="47"/>
      <c r="D59" s="49"/>
      <c r="E59" s="49"/>
      <c r="F59" s="49"/>
      <c r="G59" s="49"/>
      <c r="H59" s="50"/>
      <c r="I59" s="46"/>
      <c r="J59" s="46"/>
      <c r="K59" s="46"/>
      <c r="L59" s="46"/>
      <c r="M59" s="46"/>
    </row>
    <row r="60">
      <c r="A60" s="47"/>
      <c r="B60" s="48"/>
      <c r="C60" s="47"/>
      <c r="D60" s="49"/>
      <c r="E60" s="49"/>
      <c r="F60" s="49"/>
      <c r="G60" s="49"/>
      <c r="H60" s="50"/>
      <c r="I60" s="46"/>
      <c r="J60" s="46"/>
      <c r="K60" s="46"/>
      <c r="L60" s="46"/>
      <c r="M60" s="46"/>
    </row>
  </sheetData>
  <mergeCells count="19">
    <mergeCell ref="C7:C8"/>
    <mergeCell ref="D7:D8"/>
    <mergeCell ref="B21:G21"/>
    <mergeCell ref="B27:G27"/>
    <mergeCell ref="B36:G36"/>
    <mergeCell ref="B39:G39"/>
    <mergeCell ref="B53:G53"/>
    <mergeCell ref="E7:E8"/>
    <mergeCell ref="F7:F8"/>
    <mergeCell ref="G7:G8"/>
    <mergeCell ref="H7:K7"/>
    <mergeCell ref="L7:M7"/>
    <mergeCell ref="C2:F2"/>
    <mergeCell ref="A3:C3"/>
    <mergeCell ref="D3:E3"/>
    <mergeCell ref="A4:C4"/>
    <mergeCell ref="D4:E4"/>
    <mergeCell ref="A7:A8"/>
    <mergeCell ref="B7:B8"/>
  </mergeCells>
  <conditionalFormatting sqref="H10:H20 H22:H26 H28:H35 H37:H38 H40:H52 H54:H60">
    <cfRule type="cellIs" dxfId="0" priority="1" operator="equal">
      <formula>"Block"</formula>
    </cfRule>
  </conditionalFormatting>
  <conditionalFormatting sqref="H10:H20 H22:H26 H28:H35 H37:H38 H40:H52 H54:H60">
    <cfRule type="cellIs" dxfId="1" priority="2" operator="equal">
      <formula>"Fail"</formula>
    </cfRule>
  </conditionalFormatting>
  <conditionalFormatting sqref="H10:H20 H22:H26 H28:H35 H37:H38 H40:H52 H54:H60">
    <cfRule type="cellIs" dxfId="2" priority="3" operator="equal">
      <formula>"Pass"</formula>
    </cfRule>
  </conditionalFormatting>
  <conditionalFormatting sqref="H10:H20 H22:H26 H28:H35 H37:H38 H40:H52 H54:H60">
    <cfRule type="cellIs" dxfId="3" priority="4" operator="equal">
      <formula>"N/A"</formula>
    </cfRule>
  </conditionalFormatting>
  <conditionalFormatting sqref="H10:H20 H22:H26 H28:H35 H37:H38 H40:H52 H54:H60">
    <cfRule type="cellIs" dxfId="4" priority="5" operator="equal">
      <formula>"Block"</formula>
    </cfRule>
  </conditionalFormatting>
  <conditionalFormatting sqref="H10:H20 H22:H26 H28:H35 H37:H38 H40:H52 H54:H60">
    <cfRule type="cellIs" dxfId="5" priority="6" operator="equal">
      <formula>"Fail"</formula>
    </cfRule>
  </conditionalFormatting>
  <conditionalFormatting sqref="H10:H20 H22:H26 H28:H35 H37:H38 H40:H52 H54:H60">
    <cfRule type="cellIs" dxfId="6" priority="7" operator="equal">
      <formula>"Pass"</formula>
    </cfRule>
  </conditionalFormatting>
  <conditionalFormatting sqref="H10:H20 H22:H26 H28:H35 H37:H38 H40:H52 H54:H60">
    <cfRule type="cellIs" dxfId="7" priority="8" operator="equal">
      <formula>"N/A"</formula>
    </cfRule>
  </conditionalFormatting>
  <conditionalFormatting sqref="H10:H20 H22:H26 H28:H35 H37:H38 H40:H52 H54:H60">
    <cfRule type="cellIs" dxfId="4" priority="9" operator="equal">
      <formula>"Block"</formula>
    </cfRule>
  </conditionalFormatting>
  <conditionalFormatting sqref="H10:H20 H22:H26 H28:H35 H37:H38 H40:H52 H54:H60">
    <cfRule type="cellIs" dxfId="5" priority="10" operator="equal">
      <formula>"Fail"</formula>
    </cfRule>
  </conditionalFormatting>
  <conditionalFormatting sqref="H10:H20 H22:H26 H28:H35 H37:H38 H40:H52 H54:H60">
    <cfRule type="cellIs" dxfId="6" priority="11" operator="equal">
      <formula>"Pass"</formula>
    </cfRule>
  </conditionalFormatting>
  <conditionalFormatting sqref="H10:H20 H22:H26 H28:H35 H37:H38 H40:H52 H54:H60">
    <cfRule type="cellIs" dxfId="7" priority="12" operator="equal">
      <formula>"N/A"</formula>
    </cfRule>
  </conditionalFormatting>
  <dataValidations>
    <dataValidation type="list" allowBlank="1" showErrorMessage="1" sqref="A9:A19 A21:A60">
      <formula1>"QC,AI"</formula1>
    </dataValidation>
    <dataValidation type="list" allowBlank="1" showErrorMessage="1" sqref="C10:C19 C22:C26 C28:C35 C37:C38 C40:C52 C54:C60">
      <formula1>"High,Medium,Low"</formula1>
    </dataValidation>
    <dataValidation type="list" allowBlank="1" showErrorMessage="1" sqref="H10:H20 H22:H26 H28:H35 H37:H38 H40:H52 H54:H60">
      <formula1>"Pass,Fail,Block,N/A"</formula1>
    </dataValidation>
  </dataValidations>
  <printOptions/>
  <pageMargins bottom="0.75" footer="0.0" header="0.0" left="0.7" right="0.7" top="0.75"/>
  <pageSetup orientation="landscape"/>
  <drawing r:id="rId1"/>
</worksheet>
</file>